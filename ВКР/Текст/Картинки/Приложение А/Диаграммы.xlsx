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s\Desktop\ВКР\Текст\Картинки\Приложение А\"/>
    </mc:Choice>
  </mc:AlternateContent>
  <xr:revisionPtr revIDLastSave="0" documentId="13_ncr:1_{DE4B5E3F-90B9-44E5-B2DE-5C41992DC387}" xr6:coauthVersionLast="47" xr6:coauthVersionMax="47" xr10:uidLastSave="{00000000-0000-0000-0000-000000000000}"/>
  <bookViews>
    <workbookView xWindow="-108" yWindow="-108" windowWidth="23256" windowHeight="12576" xr2:uid="{E6754BE6-2F19-42BD-BD6A-525FF3AE8F7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10" i="1"/>
  <c r="C4" i="1"/>
  <c r="C6" i="1"/>
  <c r="C7" i="1"/>
  <c r="C8" i="1"/>
  <c r="C9" i="1"/>
  <c r="C3" i="1"/>
  <c r="C2" i="1"/>
  <c r="B11" i="1"/>
</calcChain>
</file>

<file path=xl/sharedStrings.xml><?xml version="1.0" encoding="utf-8"?>
<sst xmlns="http://schemas.openxmlformats.org/spreadsheetml/2006/main" count="22" uniqueCount="13">
  <si>
    <t>Номенклатура статей расходов</t>
  </si>
  <si>
    <t>Расходы (руб.)</t>
  </si>
  <si>
    <t>Доля расходов, %</t>
  </si>
  <si>
    <t>Основная заработная плата</t>
  </si>
  <si>
    <t>Дополнительная заработная плата</t>
  </si>
  <si>
    <t>Страховые взносы</t>
  </si>
  <si>
    <t>Материалы, покупные изделия и полуфабрикаты</t>
  </si>
  <si>
    <t>Расходы на приобретение компьютерной техники и программного обеспечения</t>
  </si>
  <si>
    <t>Амортизационные отчисления</t>
  </si>
  <si>
    <t>Эксплуатационные расходы, связанные с использованием компьютерной техники</t>
  </si>
  <si>
    <t>Накладные расходы</t>
  </si>
  <si>
    <t>Прочие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</si>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</sst>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6752998455754361"/>
          <c:y val="9.5883866225652328E-2"/>
          <c:w val="0.24538104124718299"/>
          <c:h val="0.5205216354570894"/>
        </c:manualLayout>
      </c:layout>
      <c:pie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Лист1!$A$16:$A$24</c:f>
              <c:strCache>
                <c:ptCount val="9"/>
                <c:pt idx="0">
                  <c:v>Основная заработная плата</c:v>
                </c:pt>
                <c:pt idx="1">
                  <c:v>Дополнительная заработная плата</c:v>
                </c:pt>
                <c:pt idx="2">
                  <c:v>Страховые взносы</c:v>
                </c:pt>
                <c:pt idx="3">
                  <c:v>Материалы, покупные изделия и полуфабрикаты</c:v>
                </c:pt>
                <c:pt idx="4">
                  <c:v>Расходы на приобретение компьютерной техники и программного обеспечения</c:v>
                </c:pt>
                <c:pt idx="5">
                  <c:v>Амортизационные отчисления</c:v>
                </c:pt>
                <c:pt idx="6">
                  <c:v>Эксплуатационные расходы, связанные с использованием компьютерной техники</c:v>
                </c:pt>
                <c:pt idx="7">
                  <c:v>Накладные расходы</c:v>
                </c:pt>
                <c:pt idx="8">
                  <c:v>Прочие</c:v>
                </c:pt>
              </c:strCache>
            </c:strRef>
          </c:cat>
          <c:val>
            <c:numRef>
              <c:f>Лист1!$B$16:$B$24</c:f>
              <c:numCache>
                <c:formatCode>General</c:formatCode>
                <c:ptCount val="9"/>
                <c:pt idx="0">
                  <c:v>37</c:v>
                </c:pt>
                <c:pt idx="1">
                  <c:v>8</c:v>
                </c:pt>
                <c:pt idx="2">
                  <c:v>13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37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3-479F-AABE-5D50477F6D8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3014853132963368E-2"/>
          <c:y val="0.12026437709619263"/>
          <c:w val="0.62306232640878312"/>
          <c:h val="0.828283950724461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1615440</xdr:colOff>
      <xdr:row>28</xdr:row>
      <xdr:rowOff>80010</xdr:rowOff>
    </xdr:from>
    <xdr:to>
      <xdr:col>2</xdr:col>
      <xdr:colOff>1775460</xdr:colOff>
      <xdr:row>50</xdr:row>
      <xdr:rowOff>83820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C10D82F-FC5E-CA26-1C7C-E0D77BEA5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38A9F-734E-405F-B1C5-BD913CDE4CD9}">
  <dimension ref="A1:C24"/>
  <sheetViews>
    <sheetView tabSelected="1" topLeftCell="A28" workbookViewId="0">
      <selection activeCell="C23" sqref="C23"/>
    </sheetView>
  </sheetViews>
  <sheetFormatPr defaultRowHeight="14.4" x14ac:dyDescent="0.3"/>
  <cols>
    <col min="1" max="1" width="86.5546875" customWidth="1"/>
    <col min="2" max="2" width="33.77734375" customWidth="1"/>
    <col min="3" max="3" width="57.5546875" style="12" customWidth="1"/>
  </cols>
  <sheetData>
    <row r="1" spans="1:3" ht="24" customHeight="1" thickBot="1" x14ac:dyDescent="0.35">
      <c r="A1" s="1" t="s">
        <v>0</v>
      </c>
      <c r="B1" s="2" t="s">
        <v>1</v>
      </c>
      <c r="C1" s="10" t="s">
        <v>2</v>
      </c>
    </row>
    <row r="2" spans="1:3" ht="25.2" customHeight="1" thickBot="1" x14ac:dyDescent="0.35">
      <c r="A2" s="3" t="s">
        <v>3</v>
      </c>
      <c r="B2" s="4">
        <v>969500</v>
      </c>
      <c r="C2" s="11">
        <f>B2/$B$11</f>
        <v>0.37457707707673865</v>
      </c>
    </row>
    <row r="3" spans="1:3" ht="20.399999999999999" customHeight="1" thickBot="1" x14ac:dyDescent="0.35">
      <c r="A3" s="3" t="s">
        <v>4</v>
      </c>
      <c r="B3" s="4">
        <v>213290</v>
      </c>
      <c r="C3" s="11">
        <f>B3/$B$11</f>
        <v>8.2406956956882507E-2</v>
      </c>
    </row>
    <row r="4" spans="1:3" ht="23.4" customHeight="1" thickBot="1" x14ac:dyDescent="0.35">
      <c r="A4" s="3" t="s">
        <v>5</v>
      </c>
      <c r="B4" s="4">
        <v>357202</v>
      </c>
      <c r="C4" s="11">
        <f t="shared" ref="C4:C9" si="0">B4/$B$11</f>
        <v>0.13800895418872119</v>
      </c>
    </row>
    <row r="5" spans="1:3" ht="29.4" customHeight="1" thickBot="1" x14ac:dyDescent="0.35">
      <c r="A5" s="3" t="s">
        <v>6</v>
      </c>
      <c r="B5" s="4">
        <v>16332</v>
      </c>
      <c r="C5" s="11">
        <f>B5/$B$11</f>
        <v>6.310049327299944E-3</v>
      </c>
    </row>
    <row r="6" spans="1:3" ht="21" customHeight="1" thickBot="1" x14ac:dyDescent="0.35">
      <c r="A6" s="3" t="s">
        <v>7</v>
      </c>
      <c r="B6" s="4">
        <v>46929</v>
      </c>
      <c r="C6" s="11">
        <f t="shared" si="0"/>
        <v>1.8131539608183877E-2</v>
      </c>
    </row>
    <row r="7" spans="1:3" ht="21" customHeight="1" thickBot="1" x14ac:dyDescent="0.35">
      <c r="A7" s="3" t="s">
        <v>8</v>
      </c>
      <c r="B7" s="4">
        <v>11000</v>
      </c>
      <c r="C7" s="11">
        <f t="shared" si="0"/>
        <v>4.2499719936504648E-3</v>
      </c>
    </row>
    <row r="8" spans="1:3" ht="28.2" customHeight="1" thickBot="1" x14ac:dyDescent="0.35">
      <c r="A8" s="3" t="s">
        <v>9</v>
      </c>
      <c r="B8" s="6">
        <v>4499.3500000000004</v>
      </c>
      <c r="C8" s="11">
        <f t="shared" si="0"/>
        <v>1.7383737717846562E-3</v>
      </c>
    </row>
    <row r="9" spans="1:3" ht="24" customHeight="1" thickBot="1" x14ac:dyDescent="0.35">
      <c r="A9" s="3" t="s">
        <v>10</v>
      </c>
      <c r="B9" s="4">
        <v>969500</v>
      </c>
      <c r="C9" s="11">
        <f t="shared" si="0"/>
        <v>0.37457707707673865</v>
      </c>
    </row>
    <row r="10" spans="1:3" ht="16.2" thickBot="1" x14ac:dyDescent="0.35">
      <c r="A10" s="3" t="s">
        <v>11</v>
      </c>
      <c r="B10" s="5">
        <v>0</v>
      </c>
      <c r="C10" s="11">
        <f>B10/$B$11</f>
        <v>0</v>
      </c>
    </row>
    <row r="11" spans="1:3" ht="16.2" thickBot="1" x14ac:dyDescent="0.35">
      <c r="A11" s="7" t="s">
        <v>12</v>
      </c>
      <c r="B11" s="9">
        <f>SUM(B2:B10)</f>
        <v>2588252.35</v>
      </c>
      <c r="C11" s="8"/>
    </row>
    <row r="16" spans="1:3" ht="16.2" thickBot="1" x14ac:dyDescent="0.35">
      <c r="A16" s="3" t="s">
        <v>3</v>
      </c>
      <c r="B16">
        <v>37</v>
      </c>
    </row>
    <row r="17" spans="1:2" ht="16.2" thickBot="1" x14ac:dyDescent="0.35">
      <c r="A17" s="3" t="s">
        <v>4</v>
      </c>
      <c r="B17">
        <v>8</v>
      </c>
    </row>
    <row r="18" spans="1:2" ht="16.2" thickBot="1" x14ac:dyDescent="0.35">
      <c r="A18" s="3" t="s">
        <v>5</v>
      </c>
      <c r="B18">
        <v>13</v>
      </c>
    </row>
    <row r="19" spans="1:2" ht="16.2" thickBot="1" x14ac:dyDescent="0.35">
      <c r="A19" s="3" t="s">
        <v>6</v>
      </c>
      <c r="B19">
        <v>0</v>
      </c>
    </row>
    <row r="20" spans="1:2" ht="16.2" thickBot="1" x14ac:dyDescent="0.35">
      <c r="A20" s="3" t="s">
        <v>7</v>
      </c>
      <c r="B20">
        <v>1</v>
      </c>
    </row>
    <row r="21" spans="1:2" ht="16.2" thickBot="1" x14ac:dyDescent="0.35">
      <c r="A21" s="3" t="s">
        <v>8</v>
      </c>
      <c r="B21">
        <v>0</v>
      </c>
    </row>
    <row r="22" spans="1:2" ht="16.2" thickBot="1" x14ac:dyDescent="0.35">
      <c r="A22" s="3" t="s">
        <v>9</v>
      </c>
      <c r="B22">
        <v>0</v>
      </c>
    </row>
    <row r="23" spans="1:2" ht="16.2" thickBot="1" x14ac:dyDescent="0.35">
      <c r="A23" s="3" t="s">
        <v>10</v>
      </c>
      <c r="B23">
        <v>37</v>
      </c>
    </row>
    <row r="24" spans="1:2" ht="16.2" thickBot="1" x14ac:dyDescent="0.35">
      <c r="A24" s="3" t="s">
        <v>11</v>
      </c>
      <c r="B24">
        <v>0</v>
      </c>
    </row>
  </sheetData>
  <mergeCells count="1">
    <mergeCell ref="B11:C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 Sokolov</dc:creator>
  <cp:lastModifiedBy>Alexandr Sokolov</cp:lastModifiedBy>
  <dcterms:created xsi:type="dcterms:W3CDTF">2026-05-07T20:50:23Z</dcterms:created>
  <dcterms:modified xsi:type="dcterms:W3CDTF">2026-05-07T21:06:24Z</dcterms:modified>
</cp:coreProperties>
</file>